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tabRatio="500"/>
  </bookViews>
  <sheets>
    <sheet name="Employee Master List" sheetId="1" r:id="rId1"/>
    <sheet name="Login Credentials" sheetId="2" r:id="rId2"/>
    <sheet name="Attendance Summary" sheetId="3" r:id="rId3"/>
    <sheet name="Payroll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<sst xmlns="http://schemas.openxmlformats.org/spreadsheetml/2006/main" count="343" uniqueCount="164">
  <si>
    <t>AL'S CAFE — Employee Master Database</t>
  </si>
  <si>
    <t>As of March 2026  |  All employee information is confidential</t>
  </si>
  <si>
    <t>Employee ID</t>
  </si>
  <si>
    <t>Full Name</t>
  </si>
  <si>
    <t>Username</t>
  </si>
  <si>
    <t>Role</t>
  </si>
  <si>
    <t>Department</t>
  </si>
  <si>
    <t>Email Address</t>
  </si>
  <si>
    <t>Phone Number</t>
  </si>
  <si>
    <t>Date Hired</t>
  </si>
  <si>
    <t>Employment Status</t>
  </si>
  <si>
    <t>Shift Schedule</t>
  </si>
  <si>
    <t>Daily Rate (₱)</t>
  </si>
  <si>
    <t>Password (Hashed)</t>
  </si>
  <si>
    <t>Notes</t>
  </si>
  <si>
    <t>EMP-001</t>
  </si>
  <si>
    <t>Al Santos</t>
  </si>
  <si>
    <t>admin</t>
  </si>
  <si>
    <t>Admin / Owner</t>
  </si>
  <si>
    <t>Management</t>
  </si>
  <si>
    <t>al.santos@alscafe.com</t>
  </si>
  <si>
    <t>+63 917 000 0001</t>
  </si>
  <si>
    <t>2020-01-15</t>
  </si>
  <si>
    <t>Active</t>
  </si>
  <si>
    <t>Flexible</t>
  </si>
  <si>
    <t>admin123</t>
  </si>
  <si>
    <t>System Administrator</t>
  </si>
  <si>
    <t>EMP-002</t>
  </si>
  <si>
    <t>Jerome Mabalot</t>
  </si>
  <si>
    <t>jerome</t>
  </si>
  <si>
    <t>Barista</t>
  </si>
  <si>
    <t>Operations</t>
  </si>
  <si>
    <t>jerome.mabalot@alscafe.com</t>
  </si>
  <si>
    <t>+63 917 000 0002</t>
  </si>
  <si>
    <t>2023-06-01</t>
  </si>
  <si>
    <t>Morning</t>
  </si>
  <si>
    <t>emp123</t>
  </si>
  <si>
    <t>Senior Barista</t>
  </si>
  <si>
    <t>EMP-003</t>
  </si>
  <si>
    <t>Lalaine Miranda</t>
  </si>
  <si>
    <t>lalaine</t>
  </si>
  <si>
    <t>Cashier</t>
  </si>
  <si>
    <t>lalaine.miranda@alscafe.com</t>
  </si>
  <si>
    <t>+63 917 000 0003</t>
  </si>
  <si>
    <t>2024-02-10</t>
  </si>
  <si>
    <t>lalaine123</t>
  </si>
  <si>
    <t>EMP-004</t>
  </si>
  <si>
    <t>Mechaila Macacalalad</t>
  </si>
  <si>
    <t>mechaila</t>
  </si>
  <si>
    <t>mechaila.mac@alscafe.com</t>
  </si>
  <si>
    <t>+63 917 000 0004</t>
  </si>
  <si>
    <t>2023-09-15</t>
  </si>
  <si>
    <t>Afternoon</t>
  </si>
  <si>
    <t>mec123</t>
  </si>
  <si>
    <t>EMP-005</t>
  </si>
  <si>
    <t>Gabriel Nava</t>
  </si>
  <si>
    <t>gabriel</t>
  </si>
  <si>
    <t>Kitchen Staff</t>
  </si>
  <si>
    <t>gabriel.nava@alscafe.com</t>
  </si>
  <si>
    <t>+63 917 000 0005</t>
  </si>
  <si>
    <t>2024-04-20</t>
  </si>
  <si>
    <t>gab123</t>
  </si>
  <si>
    <t>Part-time</t>
  </si>
  <si>
    <t>EMP-006</t>
  </si>
  <si>
    <t>Maria Cruz</t>
  </si>
  <si>
    <t>maria</t>
  </si>
  <si>
    <t>Supervisor</t>
  </si>
  <si>
    <t>maria.cruz@alscafe.com</t>
  </si>
  <si>
    <t>+63 917 000 0006</t>
  </si>
  <si>
    <t>2021-11-03</t>
  </si>
  <si>
    <t>maria123</t>
  </si>
  <si>
    <t>Floor Supervisor</t>
  </si>
  <si>
    <t>EMP-007</t>
  </si>
  <si>
    <t>Renz Dela Torre</t>
  </si>
  <si>
    <t>renz</t>
  </si>
  <si>
    <t>renz.delatorre@alscafe.com</t>
  </si>
  <si>
    <t>+63 917 000 0007</t>
  </si>
  <si>
    <t>2025-01-08</t>
  </si>
  <si>
    <t>renz123</t>
  </si>
  <si>
    <t>Probationary</t>
  </si>
  <si>
    <t>EMP-008</t>
  </si>
  <si>
    <t>Ana Reyes</t>
  </si>
  <si>
    <t>ana</t>
  </si>
  <si>
    <t>ana.reyes@alscafe.com</t>
  </si>
  <si>
    <t>+63 917 000 0008</t>
  </si>
  <si>
    <t>2024-07-22</t>
  </si>
  <si>
    <t>On Leave</t>
  </si>
  <si>
    <t>ana123</t>
  </si>
  <si>
    <t>Maternity Leave</t>
  </si>
  <si>
    <t>EMP-009</t>
  </si>
  <si>
    <t>Bong Villanueva</t>
  </si>
  <si>
    <t>bong</t>
  </si>
  <si>
    <t>Delivery</t>
  </si>
  <si>
    <t>Logistics</t>
  </si>
  <si>
    <t>bong.villanueva@alscafe.com</t>
  </si>
  <si>
    <t>+63 917 000 0009</t>
  </si>
  <si>
    <t>2022-03-14</t>
  </si>
  <si>
    <t>bong123</t>
  </si>
  <si>
    <t>EMP-010</t>
  </si>
  <si>
    <t>Trisha Lim</t>
  </si>
  <si>
    <t>trisha</t>
  </si>
  <si>
    <t>trisha.lim@alscafe.com</t>
  </si>
  <si>
    <t>+63 917 000 0010</t>
  </si>
  <si>
    <t>2025-02-01</t>
  </si>
  <si>
    <t>Resigned</t>
  </si>
  <si>
    <t>N/A</t>
  </si>
  <si>
    <t>Last day: Feb 28 2026</t>
  </si>
  <si>
    <t>SUMMARY</t>
  </si>
  <si>
    <t>Total Employees</t>
  </si>
  <si>
    <t>AL'S CAFE — Login Credentials (CONFIDENTIAL)</t>
  </si>
  <si>
    <t>⚠  This sheet contains sensitive information. Restrict access to Admin only.</t>
  </si>
  <si>
    <t>Password</t>
  </si>
  <si>
    <t>Access Level</t>
  </si>
  <si>
    <t>Last Login</t>
  </si>
  <si>
    <t>Full Access</t>
  </si>
  <si>
    <t>2026-03-05</t>
  </si>
  <si>
    <t>Employee Access</t>
  </si>
  <si>
    <t>2026-03-04</t>
  </si>
  <si>
    <t>2026-03-03</t>
  </si>
  <si>
    <t>Supervisor Access</t>
  </si>
  <si>
    <t>2026-03-02</t>
  </si>
  <si>
    <t>2026-02-20</t>
  </si>
  <si>
    <t>2026-03-01</t>
  </si>
  <si>
    <t>Revoked</t>
  </si>
  <si>
    <t>2026-02-28</t>
  </si>
  <si>
    <t>AL'S CAFE — Attendance Summary — March 2026</t>
  </si>
  <si>
    <t>Click on a record to view full details. Status: ON TIME = arrived by 8:00 AM</t>
  </si>
  <si>
    <t>Employee Name</t>
  </si>
  <si>
    <t>Date</t>
  </si>
  <si>
    <t>Time In</t>
  </si>
  <si>
    <t>Time Out</t>
  </si>
  <si>
    <t>Total Hours</t>
  </si>
  <si>
    <t>Status</t>
  </si>
  <si>
    <t>08:00 AM</t>
  </si>
  <si>
    <t>05:00 PM</t>
  </si>
  <si>
    <t>ON TIME</t>
  </si>
  <si>
    <t>08:15 AM</t>
  </si>
  <si>
    <t>--:--</t>
  </si>
  <si>
    <t>--</t>
  </si>
  <si>
    <t>LATE</t>
  </si>
  <si>
    <t>No clock-out yet</t>
  </si>
  <si>
    <t>09:00 AM</t>
  </si>
  <si>
    <t>06:00 PM</t>
  </si>
  <si>
    <t>04:30 PM</t>
  </si>
  <si>
    <t>UNDERLOAD</t>
  </si>
  <si>
    <t>Left early</t>
  </si>
  <si>
    <t>07:45 AM</t>
  </si>
  <si>
    <t>07:50 AM</t>
  </si>
  <si>
    <t>04:50 PM</t>
  </si>
  <si>
    <t>09:30 AM</t>
  </si>
  <si>
    <t>06:30 PM</t>
  </si>
  <si>
    <t>Notified supervisor</t>
  </si>
  <si>
    <t>08:30 AM</t>
  </si>
  <si>
    <t>08:00 PM</t>
  </si>
  <si>
    <t>Admin duty</t>
  </si>
  <si>
    <t>AL'S CAFE — Payroll Summary — March 2026</t>
  </si>
  <si>
    <t>Standard shift = 9 hrs/day | Overtime rate = 1.25x</t>
  </si>
  <si>
    <t>Days Worked</t>
  </si>
  <si>
    <t>Gross Pay (₱)</t>
  </si>
  <si>
    <t>Deductions (₱)</t>
  </si>
  <si>
    <t>Net Pay (₱)</t>
  </si>
  <si>
    <t>Released</t>
  </si>
  <si>
    <t>No Pay</t>
  </si>
  <si>
    <t>TOTAL PAYROLL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</si>
</sst>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"/>
  </numFmts>
  <fonts count="38">
    <font>
      <sz val="11"/>
      <color theme="1"/>
      <name val="Calibri"/>
      <charset val="1"/>
    </font>
    <font>
      <b/>
      <sz val="15"/>
      <color rgb="FFFFFFFF"/>
      <name val="Arial"/>
      <charset val="1"/>
    </font>
    <font>
      <i/>
      <sz val="10"/>
      <color rgb="FF4A7C1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b/>
      <sz val="10"/>
      <color rgb="FF2D5016"/>
      <name val="Arial"/>
      <charset val="1"/>
    </font>
    <font>
      <b/>
      <sz val="11"/>
      <color rgb="FFFFFFFF"/>
      <name val="Arial"/>
      <charset val="1"/>
    </font>
    <font>
      <b/>
      <sz val="10"/>
      <color rgb="FF1A6B0A"/>
      <name val="Arial"/>
      <charset val="1"/>
    </font>
    <font>
      <b/>
      <sz val="10"/>
      <color rgb="FF888888"/>
      <name val="Arial"/>
      <charset val="1"/>
    </font>
    <font>
      <b/>
      <sz val="10"/>
      <color rgb="FFB35000"/>
      <name val="Arial"/>
      <charset val="1"/>
    </font>
    <font>
      <b/>
      <sz val="10"/>
      <color rgb="FF555555"/>
      <name val="Arial"/>
      <charset val="1"/>
    </font>
    <font>
      <b/>
      <sz val="10"/>
      <color rgb="FFC0392B"/>
      <name val="Arial"/>
      <charset val="1"/>
    </font>
    <font>
      <b/>
      <sz val="10"/>
      <color rgb="FFE8720C"/>
      <name val="Arial"/>
      <charset val="1"/>
    </font>
    <font>
      <b/>
      <sz val="10"/>
      <color rgb="FF7A3D00"/>
      <name val="Arial"/>
      <charset val="1"/>
    </font>
    <font>
      <b/>
      <sz val="16"/>
      <color rgb="FFFFFFFF"/>
      <name val="Arial"/>
      <charset val="1"/>
    </font>
    <font>
      <b/>
      <sz val="11"/>
      <color rgb="FF2D5016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2D5016"/>
        <bgColor rgb="FF1A6B0A"/>
      </patternFill>
    </fill>
    <fill>
      <patternFill patternType="solid">
        <fgColor rgb="FFF0F4E8"/>
        <bgColor rgb="FFF8F5E8"/>
      </patternFill>
    </fill>
    <fill>
      <patternFill patternType="solid">
        <fgColor rgb="FF4A7C1F"/>
        <bgColor rgb="FF1A6B0A"/>
      </patternFill>
    </fill>
    <fill>
      <patternFill patternType="solid">
        <fgColor rgb="FFFFFFFF"/>
        <bgColor rgb="FFFFF8F8"/>
      </patternFill>
    </fill>
    <fill>
      <patternFill patternType="solid">
        <fgColor rgb="FFF8F5E8"/>
        <bgColor rgb="FFF0F4E8"/>
      </patternFill>
    </fill>
    <fill>
      <patternFill patternType="solid">
        <fgColor rgb="FFD4F0C8"/>
        <bgColor rgb="FFD4E8B8"/>
      </patternFill>
    </fill>
    <fill>
      <patternFill patternType="solid">
        <fgColor rgb="FFE8E8E8"/>
        <bgColor rgb="FFF0F4E8"/>
      </patternFill>
    </fill>
    <fill>
      <patternFill patternType="solid">
        <fgColor rgb="FFFDE8CC"/>
        <bgColor rgb="FFFFF3CD"/>
      </patternFill>
    </fill>
    <fill>
      <patternFill patternType="solid">
        <fgColor rgb="FFC0392B"/>
        <bgColor rgb="FFB35000"/>
      </patternFill>
    </fill>
    <fill>
      <patternFill patternType="solid">
        <fgColor rgb="FFFFF3CD"/>
        <bgColor rgb="FFFDE8CC"/>
      </patternFill>
    </fill>
    <fill>
      <patternFill patternType="solid">
        <fgColor rgb="FFFFF8F8"/>
        <bgColor rgb="FFFFFFFF"/>
      </patternFill>
    </fill>
    <fill>
      <patternFill patternType="solid">
        <fgColor rgb="FFF5D5A8"/>
        <bgColor rgb="FFFCD4D4"/>
      </patternFill>
    </fill>
    <fill>
      <patternFill patternType="solid">
        <fgColor rgb="FFFCD4D4"/>
        <bgColor rgb="FFF5D5A8"/>
      </patternFill>
    </fill>
    <fill>
      <patternFill patternType="solid">
        <fgColor rgb="FFD4E8B8"/>
        <bgColor rgb="FFD4F0C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Border="0" applyAlignment="0" applyProtection="0"/>
    <xf numFmtId="44" fontId="17" fillId="0" borderId="0" applyBorder="0" applyAlignment="0" applyProtection="0"/>
    <xf numFmtId="9" fontId="17" fillId="0" borderId="0" applyBorder="0" applyAlignment="0" applyProtection="0"/>
    <xf numFmtId="41" fontId="17" fillId="0" borderId="0" applyBorder="0" applyAlignment="0" applyProtection="0"/>
    <xf numFmtId="42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5" applyNumberFormat="0" applyAlignment="0" applyProtection="0">
      <alignment vertical="center"/>
    </xf>
    <xf numFmtId="0" fontId="28" fillId="18" borderId="6" applyNumberFormat="0" applyAlignment="0" applyProtection="0">
      <alignment vertical="center"/>
    </xf>
    <xf numFmtId="0" fontId="29" fillId="18" borderId="5" applyNumberFormat="0" applyAlignment="0" applyProtection="0">
      <alignment vertical="center"/>
    </xf>
    <xf numFmtId="0" fontId="30" fillId="19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2" fillId="11" borderId="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A6B0A"/>
      <rgbColor rgb="00000080"/>
      <rgbColor rgb="004A7C1F"/>
      <rgbColor rgb="00800080"/>
      <rgbColor rgb="00008080"/>
      <rgbColor rgb="00CCCCCC"/>
      <rgbColor rgb="00888888"/>
      <rgbColor rgb="009999FF"/>
      <rgbColor rgb="00C0392B"/>
      <rgbColor rgb="00FFF3CD"/>
      <rgbColor rgb="00F0F4E8"/>
      <rgbColor rgb="00660066"/>
      <rgbColor rgb="00FF8080"/>
      <rgbColor rgb="000066CC"/>
      <rgbColor rgb="00FCD4D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8E8E8"/>
      <rgbColor rgb="00D4F0C8"/>
      <rgbColor rgb="00FDE8CC"/>
      <rgbColor rgb="00D4E8B8"/>
      <rgbColor rgb="00F8F5E8"/>
      <rgbColor rgb="00FFF8F8"/>
      <rgbColor rgb="00F5D5A8"/>
      <rgbColor rgb="003366FF"/>
      <rgbColor rgb="0033CCCC"/>
      <rgbColor rgb="0099CC00"/>
      <rgbColor rgb="00FFCC00"/>
      <rgbColor rgb="00FF9900"/>
      <rgbColor rgb="00E8720C"/>
      <rgbColor rgb="00555555"/>
      <rgbColor rgb="00969696"/>
      <rgbColor rgb="00003366"/>
      <rgbColor rgb="00339966"/>
      <rgbColor rgb="00003300"/>
      <rgbColor rgb="002D5016"/>
      <rgbColor rgb="007A3D00"/>
      <rgbColor rgb="00B35000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tabSelected="1" workbookViewId="0">
      <pane ySplit="3" topLeftCell="A4" activePane="bottomLeft" state="frozen"/>
      <selection/>
      <selection pane="bottomLeft" activeCell="A1" sqref="A1:M1"/>
    </sheetView>
  </sheetViews>
  <sheetFormatPr defaultColWidth="8.67619047619048" defaultRowHeight="15"/>
  <cols>
    <col min="1" max="1" width="13" customWidth="1"/>
    <col min="2" max="2" width="24" customWidth="1"/>
    <col min="3" max="3" width="14" customWidth="1"/>
    <col min="4" max="4" width="18" customWidth="1"/>
    <col min="5" max="5" width="14" customWidth="1"/>
    <col min="6" max="6" width="30" customWidth="1"/>
    <col min="7" max="7" width="18" customWidth="1"/>
    <col min="8" max="8" width="14" customWidth="1"/>
    <col min="9" max="9" width="18" customWidth="1"/>
    <col min="10" max="11" width="14" customWidth="1"/>
    <col min="12" max="12" width="18" customWidth="1"/>
    <col min="13" max="13" width="22" customWidth="1"/>
  </cols>
  <sheetData>
    <row r="1" ht="36" customHeight="1" spans="1:1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ht="19.5" customHeight="1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>
      <c r="A4" s="4" t="s">
        <v>15</v>
      </c>
      <c r="B4" s="5" t="s">
        <v>16</v>
      </c>
      <c r="C4" s="5" t="s">
        <v>17</v>
      </c>
      <c r="D4" s="30" t="s">
        <v>18</v>
      </c>
      <c r="E4" s="4" t="s">
        <v>19</v>
      </c>
      <c r="F4" s="5" t="s">
        <v>20</v>
      </c>
      <c r="G4" s="5" t="s">
        <v>21</v>
      </c>
      <c r="H4" s="5" t="s">
        <v>22</v>
      </c>
      <c r="I4" s="16" t="s">
        <v>23</v>
      </c>
      <c r="J4" s="4" t="s">
        <v>24</v>
      </c>
      <c r="K4" s="4">
        <v>1200</v>
      </c>
      <c r="L4" s="5" t="s">
        <v>25</v>
      </c>
      <c r="M4" s="5" t="s">
        <v>26</v>
      </c>
    </row>
    <row r="5" spans="1:13">
      <c r="A5" s="9" t="s">
        <v>27</v>
      </c>
      <c r="B5" s="10" t="s">
        <v>28</v>
      </c>
      <c r="C5" s="10" t="s">
        <v>29</v>
      </c>
      <c r="D5" s="9" t="s">
        <v>30</v>
      </c>
      <c r="E5" s="9" t="s">
        <v>31</v>
      </c>
      <c r="F5" s="10" t="s">
        <v>32</v>
      </c>
      <c r="G5" s="10" t="s">
        <v>33</v>
      </c>
      <c r="H5" s="10" t="s">
        <v>34</v>
      </c>
      <c r="I5" s="16" t="s">
        <v>23</v>
      </c>
      <c r="J5" s="9" t="s">
        <v>35</v>
      </c>
      <c r="K5" s="9">
        <v>600</v>
      </c>
      <c r="L5" s="10" t="s">
        <v>36</v>
      </c>
      <c r="M5" s="10" t="s">
        <v>37</v>
      </c>
    </row>
    <row r="6" spans="1:13">
      <c r="A6" s="4" t="s">
        <v>38</v>
      </c>
      <c r="B6" s="5" t="s">
        <v>39</v>
      </c>
      <c r="C6" s="5" t="s">
        <v>40</v>
      </c>
      <c r="D6" s="4" t="s">
        <v>41</v>
      </c>
      <c r="E6" s="4" t="s">
        <v>31</v>
      </c>
      <c r="F6" s="5" t="s">
        <v>42</v>
      </c>
      <c r="G6" s="5" t="s">
        <v>43</v>
      </c>
      <c r="H6" s="5" t="s">
        <v>44</v>
      </c>
      <c r="I6" s="16" t="s">
        <v>23</v>
      </c>
      <c r="J6" s="4" t="s">
        <v>35</v>
      </c>
      <c r="K6" s="4">
        <v>550</v>
      </c>
      <c r="L6" s="5" t="s">
        <v>45</v>
      </c>
      <c r="M6" s="5"/>
    </row>
    <row r="7" spans="1:13">
      <c r="A7" s="9" t="s">
        <v>46</v>
      </c>
      <c r="B7" s="10" t="s">
        <v>47</v>
      </c>
      <c r="C7" s="10" t="s">
        <v>48</v>
      </c>
      <c r="D7" s="9" t="s">
        <v>30</v>
      </c>
      <c r="E7" s="9" t="s">
        <v>31</v>
      </c>
      <c r="F7" s="10" t="s">
        <v>49</v>
      </c>
      <c r="G7" s="10" t="s">
        <v>50</v>
      </c>
      <c r="H7" s="10" t="s">
        <v>51</v>
      </c>
      <c r="I7" s="16" t="s">
        <v>23</v>
      </c>
      <c r="J7" s="9" t="s">
        <v>52</v>
      </c>
      <c r="K7" s="9">
        <v>600</v>
      </c>
      <c r="L7" s="10" t="s">
        <v>53</v>
      </c>
      <c r="M7" s="10"/>
    </row>
    <row r="8" spans="1:13">
      <c r="A8" s="4" t="s">
        <v>54</v>
      </c>
      <c r="B8" s="5" t="s">
        <v>55</v>
      </c>
      <c r="C8" s="5" t="s">
        <v>56</v>
      </c>
      <c r="D8" s="4" t="s">
        <v>57</v>
      </c>
      <c r="E8" s="4" t="s">
        <v>31</v>
      </c>
      <c r="F8" s="5" t="s">
        <v>58</v>
      </c>
      <c r="G8" s="5" t="s">
        <v>59</v>
      </c>
      <c r="H8" s="5" t="s">
        <v>60</v>
      </c>
      <c r="I8" s="16" t="s">
        <v>23</v>
      </c>
      <c r="J8" s="4" t="s">
        <v>35</v>
      </c>
      <c r="K8" s="4">
        <v>575</v>
      </c>
      <c r="L8" s="5" t="s">
        <v>61</v>
      </c>
      <c r="M8" s="5" t="s">
        <v>62</v>
      </c>
    </row>
    <row r="9" spans="1:13">
      <c r="A9" s="9" t="s">
        <v>63</v>
      </c>
      <c r="B9" s="10" t="s">
        <v>64</v>
      </c>
      <c r="C9" s="10" t="s">
        <v>65</v>
      </c>
      <c r="D9" s="31" t="s">
        <v>66</v>
      </c>
      <c r="E9" s="9" t="s">
        <v>19</v>
      </c>
      <c r="F9" s="10" t="s">
        <v>67</v>
      </c>
      <c r="G9" s="10" t="s">
        <v>68</v>
      </c>
      <c r="H9" s="10" t="s">
        <v>69</v>
      </c>
      <c r="I9" s="16" t="s">
        <v>23</v>
      </c>
      <c r="J9" s="9" t="s">
        <v>24</v>
      </c>
      <c r="K9" s="9">
        <v>900</v>
      </c>
      <c r="L9" s="10" t="s">
        <v>70</v>
      </c>
      <c r="M9" s="10" t="s">
        <v>71</v>
      </c>
    </row>
    <row r="10" spans="1:13">
      <c r="A10" s="4" t="s">
        <v>72</v>
      </c>
      <c r="B10" s="5" t="s">
        <v>73</v>
      </c>
      <c r="C10" s="5" t="s">
        <v>74</v>
      </c>
      <c r="D10" s="4" t="s">
        <v>30</v>
      </c>
      <c r="E10" s="4" t="s">
        <v>31</v>
      </c>
      <c r="F10" s="5" t="s">
        <v>75</v>
      </c>
      <c r="G10" s="5" t="s">
        <v>76</v>
      </c>
      <c r="H10" s="5" t="s">
        <v>77</v>
      </c>
      <c r="I10" s="16" t="s">
        <v>23</v>
      </c>
      <c r="J10" s="4" t="s">
        <v>52</v>
      </c>
      <c r="K10" s="4">
        <v>600</v>
      </c>
      <c r="L10" s="5" t="s">
        <v>78</v>
      </c>
      <c r="M10" s="5" t="s">
        <v>79</v>
      </c>
    </row>
    <row r="11" spans="1:13">
      <c r="A11" s="9" t="s">
        <v>80</v>
      </c>
      <c r="B11" s="10" t="s">
        <v>81</v>
      </c>
      <c r="C11" s="10" t="s">
        <v>82</v>
      </c>
      <c r="D11" s="9" t="s">
        <v>41</v>
      </c>
      <c r="E11" s="9" t="s">
        <v>31</v>
      </c>
      <c r="F11" s="10" t="s">
        <v>83</v>
      </c>
      <c r="G11" s="10" t="s">
        <v>84</v>
      </c>
      <c r="H11" s="10" t="s">
        <v>85</v>
      </c>
      <c r="I11" s="19" t="s">
        <v>86</v>
      </c>
      <c r="J11" s="9" t="s">
        <v>35</v>
      </c>
      <c r="K11" s="9">
        <v>550</v>
      </c>
      <c r="L11" s="10" t="s">
        <v>87</v>
      </c>
      <c r="M11" s="10" t="s">
        <v>88</v>
      </c>
    </row>
    <row r="12" spans="1:13">
      <c r="A12" s="4" t="s">
        <v>89</v>
      </c>
      <c r="B12" s="5" t="s">
        <v>90</v>
      </c>
      <c r="C12" s="5" t="s">
        <v>91</v>
      </c>
      <c r="D12" s="4" t="s">
        <v>92</v>
      </c>
      <c r="E12" s="4" t="s">
        <v>93</v>
      </c>
      <c r="F12" s="5" t="s">
        <v>94</v>
      </c>
      <c r="G12" s="5" t="s">
        <v>95</v>
      </c>
      <c r="H12" s="5" t="s">
        <v>96</v>
      </c>
      <c r="I12" s="16" t="s">
        <v>23</v>
      </c>
      <c r="J12" s="4" t="s">
        <v>35</v>
      </c>
      <c r="K12" s="4">
        <v>560</v>
      </c>
      <c r="L12" s="5" t="s">
        <v>97</v>
      </c>
      <c r="M12" s="5"/>
    </row>
    <row r="13" spans="1:13">
      <c r="A13" s="9" t="s">
        <v>98</v>
      </c>
      <c r="B13" s="10" t="s">
        <v>99</v>
      </c>
      <c r="C13" s="10" t="s">
        <v>100</v>
      </c>
      <c r="D13" s="9" t="s">
        <v>30</v>
      </c>
      <c r="E13" s="9" t="s">
        <v>31</v>
      </c>
      <c r="F13" s="10" t="s">
        <v>101</v>
      </c>
      <c r="G13" s="10" t="s">
        <v>102</v>
      </c>
      <c r="H13" s="10" t="s">
        <v>103</v>
      </c>
      <c r="I13" s="28" t="s">
        <v>104</v>
      </c>
      <c r="J13" s="9" t="s">
        <v>52</v>
      </c>
      <c r="K13" s="9">
        <v>600</v>
      </c>
      <c r="L13" s="10" t="s">
        <v>105</v>
      </c>
      <c r="M13" s="10" t="s">
        <v>106</v>
      </c>
    </row>
    <row r="14" spans="1:10">
      <c r="A14" s="32" t="s">
        <v>107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8">
      <c r="A15" s="33" t="s">
        <v>108</v>
      </c>
      <c r="B15" s="34">
        <f>COUNTA(B4:B13)</f>
        <v>10</v>
      </c>
      <c r="C15" s="33" t="s">
        <v>23</v>
      </c>
      <c r="D15" s="34">
        <f>COUNTIF(I4:I13,"Active")</f>
        <v>8</v>
      </c>
      <c r="E15" s="33" t="s">
        <v>86</v>
      </c>
      <c r="F15" s="34">
        <f>COUNTIF(I4:I13,"On Leave")</f>
        <v>1</v>
      </c>
      <c r="G15" s="33" t="s">
        <v>104</v>
      </c>
      <c r="H15" s="34">
        <f>COUNTIF(I4:I13,"Resigned")</f>
        <v>1</v>
      </c>
    </row>
  </sheetData>
  <mergeCells count="3">
    <mergeCell ref="A1:M1"/>
    <mergeCell ref="A2:M2"/>
    <mergeCell ref="A14:J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workbookViewId="0">
      <pane ySplit="3" topLeftCell="A4" activePane="bottomLeft" state="frozen"/>
      <selection/>
      <selection pane="bottomLeft" activeCell="A1" sqref="A1:G1"/>
    </sheetView>
  </sheetViews>
  <sheetFormatPr defaultColWidth="8.67619047619048" defaultRowHeight="15" outlineLevelCol="6"/>
  <cols>
    <col min="1" max="1" width="13" customWidth="1"/>
    <col min="2" max="2" width="24" customWidth="1"/>
    <col min="3" max="3" width="18" customWidth="1"/>
    <col min="4" max="4" width="14" customWidth="1"/>
    <col min="5" max="5" width="16" customWidth="1"/>
    <col min="6" max="6" width="20" customWidth="1"/>
    <col min="7" max="7" width="14" customWidth="1"/>
  </cols>
  <sheetData>
    <row r="1" ht="33.75" customHeight="1" spans="1:7">
      <c r="A1" s="21" t="s">
        <v>109</v>
      </c>
      <c r="B1" s="21"/>
      <c r="C1" s="21"/>
      <c r="D1" s="21"/>
      <c r="E1" s="21"/>
      <c r="F1" s="21"/>
      <c r="G1" s="21"/>
    </row>
    <row r="2" ht="19.5" customHeight="1" spans="1:7">
      <c r="A2" s="22" t="s">
        <v>110</v>
      </c>
      <c r="B2" s="22"/>
      <c r="C2" s="22"/>
      <c r="D2" s="22"/>
      <c r="E2" s="22"/>
      <c r="F2" s="22"/>
      <c r="G2" s="22"/>
    </row>
    <row r="3" ht="27.75" customHeight="1" spans="1:7">
      <c r="A3" s="23" t="s">
        <v>2</v>
      </c>
      <c r="B3" s="23" t="s">
        <v>3</v>
      </c>
      <c r="C3" s="23" t="s">
        <v>5</v>
      </c>
      <c r="D3" s="23" t="s">
        <v>4</v>
      </c>
      <c r="E3" s="23" t="s">
        <v>111</v>
      </c>
      <c r="F3" s="23" t="s">
        <v>112</v>
      </c>
      <c r="G3" s="23" t="s">
        <v>113</v>
      </c>
    </row>
    <row r="4" spans="1:7">
      <c r="A4" s="4" t="s">
        <v>15</v>
      </c>
      <c r="B4" s="5" t="s">
        <v>16</v>
      </c>
      <c r="C4" s="4" t="s">
        <v>18</v>
      </c>
      <c r="D4" s="4" t="s">
        <v>17</v>
      </c>
      <c r="E4" s="5" t="s">
        <v>25</v>
      </c>
      <c r="F4" s="24" t="s">
        <v>114</v>
      </c>
      <c r="G4" s="4" t="s">
        <v>115</v>
      </c>
    </row>
    <row r="5" spans="1:7">
      <c r="A5" s="25" t="s">
        <v>27</v>
      </c>
      <c r="B5" s="26" t="s">
        <v>28</v>
      </c>
      <c r="C5" s="25" t="s">
        <v>30</v>
      </c>
      <c r="D5" s="25" t="s">
        <v>29</v>
      </c>
      <c r="E5" s="26" t="s">
        <v>36</v>
      </c>
      <c r="F5" s="25" t="s">
        <v>116</v>
      </c>
      <c r="G5" s="25" t="s">
        <v>117</v>
      </c>
    </row>
    <row r="6" spans="1:7">
      <c r="A6" s="4" t="s">
        <v>38</v>
      </c>
      <c r="B6" s="5" t="s">
        <v>39</v>
      </c>
      <c r="C6" s="4" t="s">
        <v>41</v>
      </c>
      <c r="D6" s="4" t="s">
        <v>40</v>
      </c>
      <c r="E6" s="5" t="s">
        <v>45</v>
      </c>
      <c r="F6" s="4" t="s">
        <v>116</v>
      </c>
      <c r="G6" s="4" t="s">
        <v>117</v>
      </c>
    </row>
    <row r="7" spans="1:7">
      <c r="A7" s="25" t="s">
        <v>46</v>
      </c>
      <c r="B7" s="26" t="s">
        <v>47</v>
      </c>
      <c r="C7" s="25" t="s">
        <v>30</v>
      </c>
      <c r="D7" s="25" t="s">
        <v>48</v>
      </c>
      <c r="E7" s="26" t="s">
        <v>53</v>
      </c>
      <c r="F7" s="25" t="s">
        <v>116</v>
      </c>
      <c r="G7" s="25" t="s">
        <v>118</v>
      </c>
    </row>
    <row r="8" spans="1:7">
      <c r="A8" s="4" t="s">
        <v>54</v>
      </c>
      <c r="B8" s="5" t="s">
        <v>55</v>
      </c>
      <c r="C8" s="4" t="s">
        <v>57</v>
      </c>
      <c r="D8" s="4" t="s">
        <v>56</v>
      </c>
      <c r="E8" s="5" t="s">
        <v>61</v>
      </c>
      <c r="F8" s="4" t="s">
        <v>116</v>
      </c>
      <c r="G8" s="4" t="s">
        <v>118</v>
      </c>
    </row>
    <row r="9" spans="1:7">
      <c r="A9" s="25" t="s">
        <v>63</v>
      </c>
      <c r="B9" s="26" t="s">
        <v>64</v>
      </c>
      <c r="C9" s="25" t="s">
        <v>66</v>
      </c>
      <c r="D9" s="25" t="s">
        <v>65</v>
      </c>
      <c r="E9" s="26" t="s">
        <v>70</v>
      </c>
      <c r="F9" s="27" t="s">
        <v>119</v>
      </c>
      <c r="G9" s="25" t="s">
        <v>115</v>
      </c>
    </row>
    <row r="10" spans="1:7">
      <c r="A10" s="4" t="s">
        <v>72</v>
      </c>
      <c r="B10" s="5" t="s">
        <v>73</v>
      </c>
      <c r="C10" s="4" t="s">
        <v>30</v>
      </c>
      <c r="D10" s="4" t="s">
        <v>74</v>
      </c>
      <c r="E10" s="5" t="s">
        <v>78</v>
      </c>
      <c r="F10" s="4" t="s">
        <v>116</v>
      </c>
      <c r="G10" s="4" t="s">
        <v>120</v>
      </c>
    </row>
    <row r="11" spans="1:7">
      <c r="A11" s="25" t="s">
        <v>80</v>
      </c>
      <c r="B11" s="26" t="s">
        <v>81</v>
      </c>
      <c r="C11" s="25" t="s">
        <v>41</v>
      </c>
      <c r="D11" s="25" t="s">
        <v>82</v>
      </c>
      <c r="E11" s="26" t="s">
        <v>87</v>
      </c>
      <c r="F11" s="25" t="s">
        <v>116</v>
      </c>
      <c r="G11" s="25" t="s">
        <v>121</v>
      </c>
    </row>
    <row r="12" spans="1:7">
      <c r="A12" s="4" t="s">
        <v>89</v>
      </c>
      <c r="B12" s="5" t="s">
        <v>90</v>
      </c>
      <c r="C12" s="4" t="s">
        <v>92</v>
      </c>
      <c r="D12" s="4" t="s">
        <v>91</v>
      </c>
      <c r="E12" s="5" t="s">
        <v>97</v>
      </c>
      <c r="F12" s="4" t="s">
        <v>116</v>
      </c>
      <c r="G12" s="4" t="s">
        <v>122</v>
      </c>
    </row>
    <row r="13" spans="1:7">
      <c r="A13" s="25" t="s">
        <v>98</v>
      </c>
      <c r="B13" s="26" t="s">
        <v>99</v>
      </c>
      <c r="C13" s="25" t="s">
        <v>30</v>
      </c>
      <c r="D13" s="25" t="s">
        <v>100</v>
      </c>
      <c r="E13" s="26" t="s">
        <v>105</v>
      </c>
      <c r="F13" s="28" t="s">
        <v>123</v>
      </c>
      <c r="G13" s="25" t="s">
        <v>124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8.67619047619048" defaultRowHeight="15" outlineLevelCol="7"/>
  <cols>
    <col min="1" max="1" width="13" customWidth="1"/>
    <col min="2" max="2" width="24" customWidth="1"/>
    <col min="3" max="3" width="14" customWidth="1"/>
    <col min="4" max="5" width="12" customWidth="1"/>
    <col min="6" max="7" width="14" customWidth="1"/>
    <col min="8" max="8" width="22" customWidth="1"/>
  </cols>
  <sheetData>
    <row r="1" ht="33.75" customHeight="1" spans="1:8">
      <c r="A1" s="1" t="s">
        <v>125</v>
      </c>
      <c r="B1" s="1"/>
      <c r="C1" s="1"/>
      <c r="D1" s="1"/>
      <c r="E1" s="1"/>
      <c r="F1" s="1"/>
      <c r="G1" s="1"/>
      <c r="H1" s="1"/>
    </row>
    <row r="2" ht="18" customHeight="1" spans="1:8">
      <c r="A2" s="2" t="s">
        <v>126</v>
      </c>
      <c r="B2" s="2"/>
      <c r="C2" s="2"/>
      <c r="D2" s="2"/>
      <c r="E2" s="2"/>
      <c r="F2" s="2"/>
      <c r="G2" s="2"/>
      <c r="H2" s="2"/>
    </row>
    <row r="3" ht="27.75" customHeight="1" spans="1:8">
      <c r="A3" s="18" t="s">
        <v>2</v>
      </c>
      <c r="B3" s="18" t="s">
        <v>127</v>
      </c>
      <c r="C3" s="18" t="s">
        <v>128</v>
      </c>
      <c r="D3" s="18" t="s">
        <v>129</v>
      </c>
      <c r="E3" s="18" t="s">
        <v>130</v>
      </c>
      <c r="F3" s="18" t="s">
        <v>131</v>
      </c>
      <c r="G3" s="18" t="s">
        <v>132</v>
      </c>
      <c r="H3" s="18" t="s">
        <v>14</v>
      </c>
    </row>
    <row r="4" spans="1:8">
      <c r="A4" s="4" t="s">
        <v>27</v>
      </c>
      <c r="B4" s="5" t="s">
        <v>28</v>
      </c>
      <c r="C4" s="4" t="s">
        <v>117</v>
      </c>
      <c r="D4" s="4" t="s">
        <v>133</v>
      </c>
      <c r="E4" s="4" t="s">
        <v>134</v>
      </c>
      <c r="F4" s="4">
        <v>9</v>
      </c>
      <c r="G4" s="16" t="s">
        <v>135</v>
      </c>
      <c r="H4" s="5"/>
    </row>
    <row r="5" spans="1:8">
      <c r="A5" s="9" t="s">
        <v>38</v>
      </c>
      <c r="B5" s="10" t="s">
        <v>39</v>
      </c>
      <c r="C5" s="9" t="s">
        <v>117</v>
      </c>
      <c r="D5" s="9" t="s">
        <v>136</v>
      </c>
      <c r="E5" s="9" t="s">
        <v>137</v>
      </c>
      <c r="F5" s="9" t="s">
        <v>138</v>
      </c>
      <c r="G5" s="19" t="s">
        <v>139</v>
      </c>
      <c r="H5" s="10" t="s">
        <v>140</v>
      </c>
    </row>
    <row r="6" spans="1:8">
      <c r="A6" s="4" t="s">
        <v>46</v>
      </c>
      <c r="B6" s="5" t="s">
        <v>47</v>
      </c>
      <c r="C6" s="4" t="s">
        <v>118</v>
      </c>
      <c r="D6" s="4" t="s">
        <v>141</v>
      </c>
      <c r="E6" s="4" t="s">
        <v>142</v>
      </c>
      <c r="F6" s="4">
        <v>9</v>
      </c>
      <c r="G6" s="16" t="s">
        <v>135</v>
      </c>
      <c r="H6" s="5"/>
    </row>
    <row r="7" spans="1:8">
      <c r="A7" s="9" t="s">
        <v>54</v>
      </c>
      <c r="B7" s="10" t="s">
        <v>55</v>
      </c>
      <c r="C7" s="9" t="s">
        <v>118</v>
      </c>
      <c r="D7" s="9" t="s">
        <v>133</v>
      </c>
      <c r="E7" s="9" t="s">
        <v>143</v>
      </c>
      <c r="F7" s="9">
        <v>8.5</v>
      </c>
      <c r="G7" s="20" t="s">
        <v>144</v>
      </c>
      <c r="H7" s="10" t="s">
        <v>145</v>
      </c>
    </row>
    <row r="8" spans="1:8">
      <c r="A8" s="4" t="s">
        <v>63</v>
      </c>
      <c r="B8" s="5" t="s">
        <v>64</v>
      </c>
      <c r="C8" s="4" t="s">
        <v>117</v>
      </c>
      <c r="D8" s="4" t="s">
        <v>146</v>
      </c>
      <c r="E8" s="4" t="s">
        <v>134</v>
      </c>
      <c r="F8" s="4">
        <v>9.25</v>
      </c>
      <c r="G8" s="16" t="s">
        <v>135</v>
      </c>
      <c r="H8" s="5"/>
    </row>
    <row r="9" spans="1:8">
      <c r="A9" s="9" t="s">
        <v>72</v>
      </c>
      <c r="B9" s="10" t="s">
        <v>73</v>
      </c>
      <c r="C9" s="9" t="s">
        <v>117</v>
      </c>
      <c r="D9" s="9" t="s">
        <v>133</v>
      </c>
      <c r="E9" s="9" t="s">
        <v>134</v>
      </c>
      <c r="F9" s="9">
        <v>9</v>
      </c>
      <c r="G9" s="16" t="s">
        <v>135</v>
      </c>
      <c r="H9" s="10"/>
    </row>
    <row r="10" spans="1:8">
      <c r="A10" s="4" t="s">
        <v>89</v>
      </c>
      <c r="B10" s="5" t="s">
        <v>90</v>
      </c>
      <c r="C10" s="4" t="s">
        <v>117</v>
      </c>
      <c r="D10" s="4" t="s">
        <v>147</v>
      </c>
      <c r="E10" s="4" t="s">
        <v>148</v>
      </c>
      <c r="F10" s="4">
        <v>9</v>
      </c>
      <c r="G10" s="16" t="s">
        <v>135</v>
      </c>
      <c r="H10" s="5"/>
    </row>
    <row r="11" spans="1:8">
      <c r="A11" s="9" t="s">
        <v>27</v>
      </c>
      <c r="B11" s="10" t="s">
        <v>28</v>
      </c>
      <c r="C11" s="9" t="s">
        <v>118</v>
      </c>
      <c r="D11" s="9" t="s">
        <v>133</v>
      </c>
      <c r="E11" s="9" t="s">
        <v>134</v>
      </c>
      <c r="F11" s="9">
        <v>9</v>
      </c>
      <c r="G11" s="16" t="s">
        <v>135</v>
      </c>
      <c r="H11" s="10"/>
    </row>
    <row r="12" spans="1:8">
      <c r="A12" s="4" t="s">
        <v>72</v>
      </c>
      <c r="B12" s="5" t="s">
        <v>73</v>
      </c>
      <c r="C12" s="4" t="s">
        <v>118</v>
      </c>
      <c r="D12" s="4" t="s">
        <v>149</v>
      </c>
      <c r="E12" s="4" t="s">
        <v>150</v>
      </c>
      <c r="F12" s="4">
        <v>9</v>
      </c>
      <c r="G12" s="19" t="s">
        <v>139</v>
      </c>
      <c r="H12" s="5" t="s">
        <v>151</v>
      </c>
    </row>
    <row r="13" spans="1:8">
      <c r="A13" s="9" t="s">
        <v>15</v>
      </c>
      <c r="B13" s="10" t="s">
        <v>16</v>
      </c>
      <c r="C13" s="9" t="s">
        <v>117</v>
      </c>
      <c r="D13" s="9" t="s">
        <v>152</v>
      </c>
      <c r="E13" s="9" t="s">
        <v>153</v>
      </c>
      <c r="F13" s="9">
        <v>11.5</v>
      </c>
      <c r="G13" s="16" t="s">
        <v>135</v>
      </c>
      <c r="H13" s="10" t="s">
        <v>154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8.67619047619048" defaultRowHeight="15"/>
  <cols>
    <col min="1" max="1" width="13" customWidth="1"/>
    <col min="2" max="2" width="24" customWidth="1"/>
    <col min="3" max="3" width="18" customWidth="1"/>
    <col min="4" max="4" width="13" customWidth="1"/>
    <col min="5" max="7" width="16" customWidth="1"/>
    <col min="8" max="8" width="14" customWidth="1"/>
    <col min="9" max="9" width="12" customWidth="1"/>
  </cols>
  <sheetData>
    <row r="1" ht="33.75" customHeight="1" spans="1:9">
      <c r="A1" s="1" t="s">
        <v>155</v>
      </c>
      <c r="B1" s="1"/>
      <c r="C1" s="1"/>
      <c r="D1" s="1"/>
      <c r="E1" s="1"/>
      <c r="F1" s="1"/>
      <c r="G1" s="1"/>
      <c r="H1" s="1"/>
      <c r="I1" s="1"/>
    </row>
    <row r="2" ht="18" customHeight="1" spans="1:9">
      <c r="A2" s="2" t="s">
        <v>156</v>
      </c>
      <c r="B2" s="2"/>
      <c r="C2" s="2"/>
      <c r="D2" s="2"/>
      <c r="E2" s="2"/>
      <c r="F2" s="2"/>
      <c r="G2" s="2"/>
      <c r="H2" s="2"/>
      <c r="I2" s="2"/>
    </row>
    <row r="3" ht="27.75" customHeight="1" spans="1:9">
      <c r="A3" s="3" t="s">
        <v>2</v>
      </c>
      <c r="B3" s="3" t="s">
        <v>3</v>
      </c>
      <c r="C3" s="3" t="s">
        <v>5</v>
      </c>
      <c r="D3" s="3" t="s">
        <v>157</v>
      </c>
      <c r="E3" s="3" t="s">
        <v>12</v>
      </c>
      <c r="F3" s="3" t="s">
        <v>158</v>
      </c>
      <c r="G3" s="3" t="s">
        <v>159</v>
      </c>
      <c r="H3" s="3" t="s">
        <v>160</v>
      </c>
      <c r="I3" s="3" t="s">
        <v>132</v>
      </c>
    </row>
    <row r="4" spans="1:9">
      <c r="A4" s="4" t="s">
        <v>15</v>
      </c>
      <c r="B4" s="5" t="s">
        <v>16</v>
      </c>
      <c r="C4" s="5" t="s">
        <v>18</v>
      </c>
      <c r="D4" s="4">
        <v>22</v>
      </c>
      <c r="E4" s="6">
        <v>1200</v>
      </c>
      <c r="F4" s="7">
        <f t="shared" ref="F4:F13" si="0">D4*E4</f>
        <v>26400</v>
      </c>
      <c r="G4" s="7">
        <f t="shared" ref="G4:G13" si="1">F4*0.05</f>
        <v>1320</v>
      </c>
      <c r="H4" s="8">
        <f t="shared" ref="H4:H13" si="2">F4-G4</f>
        <v>25080</v>
      </c>
      <c r="I4" s="16" t="s">
        <v>161</v>
      </c>
    </row>
    <row r="5" spans="1:9">
      <c r="A5" s="9" t="s">
        <v>27</v>
      </c>
      <c r="B5" s="10" t="s">
        <v>28</v>
      </c>
      <c r="C5" s="10" t="s">
        <v>30</v>
      </c>
      <c r="D5" s="9">
        <v>22</v>
      </c>
      <c r="E5" s="11">
        <v>600</v>
      </c>
      <c r="F5" s="12">
        <f t="shared" si="0"/>
        <v>13200</v>
      </c>
      <c r="G5" s="12">
        <f t="shared" si="1"/>
        <v>660</v>
      </c>
      <c r="H5" s="13">
        <f t="shared" si="2"/>
        <v>12540</v>
      </c>
      <c r="I5" s="16" t="s">
        <v>161</v>
      </c>
    </row>
    <row r="6" spans="1:9">
      <c r="A6" s="4" t="s">
        <v>38</v>
      </c>
      <c r="B6" s="5" t="s">
        <v>39</v>
      </c>
      <c r="C6" s="5" t="s">
        <v>41</v>
      </c>
      <c r="D6" s="4">
        <v>20</v>
      </c>
      <c r="E6" s="6">
        <v>550</v>
      </c>
      <c r="F6" s="7">
        <f t="shared" si="0"/>
        <v>11000</v>
      </c>
      <c r="G6" s="7">
        <f t="shared" si="1"/>
        <v>550</v>
      </c>
      <c r="H6" s="8">
        <f t="shared" si="2"/>
        <v>10450</v>
      </c>
      <c r="I6" s="16" t="s">
        <v>161</v>
      </c>
    </row>
    <row r="7" spans="1:9">
      <c r="A7" s="9" t="s">
        <v>46</v>
      </c>
      <c r="B7" s="10" t="s">
        <v>47</v>
      </c>
      <c r="C7" s="10" t="s">
        <v>30</v>
      </c>
      <c r="D7" s="9">
        <v>22</v>
      </c>
      <c r="E7" s="11">
        <v>600</v>
      </c>
      <c r="F7" s="12">
        <f t="shared" si="0"/>
        <v>13200</v>
      </c>
      <c r="G7" s="12">
        <f t="shared" si="1"/>
        <v>660</v>
      </c>
      <c r="H7" s="13">
        <f t="shared" si="2"/>
        <v>12540</v>
      </c>
      <c r="I7" s="16" t="s">
        <v>161</v>
      </c>
    </row>
    <row r="8" spans="1:9">
      <c r="A8" s="4" t="s">
        <v>54</v>
      </c>
      <c r="B8" s="5" t="s">
        <v>55</v>
      </c>
      <c r="C8" s="5" t="s">
        <v>57</v>
      </c>
      <c r="D8" s="4">
        <v>18</v>
      </c>
      <c r="E8" s="6">
        <v>575</v>
      </c>
      <c r="F8" s="7">
        <f t="shared" si="0"/>
        <v>10350</v>
      </c>
      <c r="G8" s="7">
        <f t="shared" si="1"/>
        <v>517.5</v>
      </c>
      <c r="H8" s="8">
        <f t="shared" si="2"/>
        <v>9832.5</v>
      </c>
      <c r="I8" s="16" t="s">
        <v>161</v>
      </c>
    </row>
    <row r="9" spans="1:9">
      <c r="A9" s="9" t="s">
        <v>63</v>
      </c>
      <c r="B9" s="10" t="s">
        <v>64</v>
      </c>
      <c r="C9" s="10" t="s">
        <v>66</v>
      </c>
      <c r="D9" s="9">
        <v>22</v>
      </c>
      <c r="E9" s="11">
        <v>900</v>
      </c>
      <c r="F9" s="12">
        <f t="shared" si="0"/>
        <v>19800</v>
      </c>
      <c r="G9" s="12">
        <f t="shared" si="1"/>
        <v>990</v>
      </c>
      <c r="H9" s="13">
        <f t="shared" si="2"/>
        <v>18810</v>
      </c>
      <c r="I9" s="16" t="s">
        <v>161</v>
      </c>
    </row>
    <row r="10" spans="1:9">
      <c r="A10" s="4" t="s">
        <v>72</v>
      </c>
      <c r="B10" s="5" t="s">
        <v>73</v>
      </c>
      <c r="C10" s="5" t="s">
        <v>30</v>
      </c>
      <c r="D10" s="4">
        <v>21</v>
      </c>
      <c r="E10" s="6">
        <v>600</v>
      </c>
      <c r="F10" s="7">
        <f t="shared" si="0"/>
        <v>12600</v>
      </c>
      <c r="G10" s="7">
        <f t="shared" si="1"/>
        <v>630</v>
      </c>
      <c r="H10" s="8">
        <f t="shared" si="2"/>
        <v>11970</v>
      </c>
      <c r="I10" s="16" t="s">
        <v>161</v>
      </c>
    </row>
    <row r="11" spans="1:9">
      <c r="A11" s="9" t="s">
        <v>80</v>
      </c>
      <c r="B11" s="10" t="s">
        <v>81</v>
      </c>
      <c r="C11" s="10" t="s">
        <v>41</v>
      </c>
      <c r="D11" s="9">
        <v>0</v>
      </c>
      <c r="E11" s="11">
        <v>550</v>
      </c>
      <c r="F11" s="12">
        <f t="shared" si="0"/>
        <v>0</v>
      </c>
      <c r="G11" s="12">
        <f t="shared" si="1"/>
        <v>0</v>
      </c>
      <c r="H11" s="13">
        <f t="shared" si="2"/>
        <v>0</v>
      </c>
      <c r="I11" s="17" t="s">
        <v>162</v>
      </c>
    </row>
    <row r="12" spans="1:9">
      <c r="A12" s="4" t="s">
        <v>89</v>
      </c>
      <c r="B12" s="5" t="s">
        <v>90</v>
      </c>
      <c r="C12" s="5" t="s">
        <v>92</v>
      </c>
      <c r="D12" s="4">
        <v>22</v>
      </c>
      <c r="E12" s="6">
        <v>560</v>
      </c>
      <c r="F12" s="7">
        <f t="shared" si="0"/>
        <v>12320</v>
      </c>
      <c r="G12" s="7">
        <f t="shared" si="1"/>
        <v>616</v>
      </c>
      <c r="H12" s="8">
        <f t="shared" si="2"/>
        <v>11704</v>
      </c>
      <c r="I12" s="16" t="s">
        <v>161</v>
      </c>
    </row>
    <row r="13" spans="1:9">
      <c r="A13" s="9" t="s">
        <v>98</v>
      </c>
      <c r="B13" s="10" t="s">
        <v>99</v>
      </c>
      <c r="C13" s="10" t="s">
        <v>30</v>
      </c>
      <c r="D13" s="9">
        <v>0</v>
      </c>
      <c r="E13" s="11">
        <v>600</v>
      </c>
      <c r="F13" s="12">
        <f t="shared" si="0"/>
        <v>0</v>
      </c>
      <c r="G13" s="12">
        <f t="shared" si="1"/>
        <v>0</v>
      </c>
      <c r="H13" s="13">
        <f t="shared" si="2"/>
        <v>0</v>
      </c>
      <c r="I13" s="17" t="s">
        <v>162</v>
      </c>
    </row>
    <row r="15" spans="1:8">
      <c r="A15" s="14" t="s">
        <v>163</v>
      </c>
      <c r="B15" s="14"/>
      <c r="C15" s="14"/>
      <c r="D15" s="14"/>
      <c r="E15" s="14"/>
      <c r="F15" s="15">
        <f>SUM(F4:F14)</f>
        <v>118870</v>
      </c>
      <c r="G15" s="15">
        <f>SUM(G4:G14)</f>
        <v>5943.5</v>
      </c>
      <c r="H15" s="15">
        <f>SUM(H4:H14)</f>
        <v>112926.5</v>
      </c>
    </row>
  </sheetData>
  <mergeCells count="3">
    <mergeCell ref="A1:I1"/>
    <mergeCell ref="A2:I2"/>
    <mergeCell ref="A15:E1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Employee Master List</vt:lpstr>
      <vt:lpstr>Login Credentials</vt:lpstr>
      <vt:lpstr>Attendance Summary</vt:lpstr>
      <vt:lpstr>Payroll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Mabalot</cp:lastModifiedBy>
  <cp:revision>0</cp:revision>
  <dcterms:created xsi:type="dcterms:W3CDTF">2026-03-05T08:42:00Z</dcterms:created>
  <dcterms:modified xsi:type="dcterms:W3CDTF">2026-03-05T09:33:57Z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1A41549FF59C48E0B46A7B4E8E7C3945_12</vt:lpwstr>
  </property>
  <property fmtid="{D5CDD505-2E9C-101B-9397-08002B2CF9AE}" pid="3" name="KSOProductBuildVer">
    <vt:lpwstr>1033-12.2.0.23196</vt:lpwstr>
  </property>
</Properties>
</file>